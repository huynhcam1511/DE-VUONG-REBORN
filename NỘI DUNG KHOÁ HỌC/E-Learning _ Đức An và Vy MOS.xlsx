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ẫu" sheetId="1" r:id="rId5"/>
    <sheet state="visible" name="Trang tính2" sheetId="2" r:id="rId6"/>
  </sheets>
  <definedNames/>
  <calcPr/>
</workbook>
</file>

<file path=xl/sharedStrings.xml><?xml version="1.0" encoding="utf-8"?>
<sst xmlns="http://schemas.openxmlformats.org/spreadsheetml/2006/main" count="69" uniqueCount="61">
  <si>
    <t>Kế hoạch đào tạo học thi chứng chỉ MOS</t>
  </si>
  <si>
    <t>Thứ</t>
  </si>
  <si>
    <t>Ngày</t>
  </si>
  <si>
    <t>Tiết</t>
  </si>
  <si>
    <t>Nội dung</t>
  </si>
  <si>
    <t>Ghi chú lộ trình lý thuyết</t>
  </si>
  <si>
    <t>Bài tập em cần thực hiện</t>
  </si>
  <si>
    <t>Tiến độ em tự đánh dấu nha</t>
  </si>
  <si>
    <t>- Giới thiệu Lộ trình và Mục tiêu khoá đào tạo</t>
  </si>
  <si>
    <r>
      <rPr>
        <rFont val="Times New Roman"/>
        <sz val="13.0"/>
      </rPr>
      <t xml:space="preserve">- Giới thiệu bài thi: </t>
    </r>
    <r>
      <rPr>
        <rFont val="Times New Roman"/>
        <color rgb="FF1155CC"/>
        <sz val="13.0"/>
        <u/>
      </rPr>
      <t>https://mos.iigvietnam.com/gioi-thieu-bai-thi/</t>
    </r>
    <r>
      <rPr>
        <rFont val="Times New Roman"/>
        <sz val="13.0"/>
      </rPr>
      <t xml:space="preserve">
- Công cụ luyện thi Gmetrix MOS: </t>
    </r>
    <r>
      <rPr>
        <rFont val="Times New Roman"/>
        <color rgb="FF1155CC"/>
        <sz val="13.0"/>
        <u/>
      </rPr>
      <t>https://elearning.iigvietnam.com/cong-cu/de-thi-thu-mos</t>
    </r>
    <r>
      <rPr>
        <rFont val="Times New Roman"/>
        <sz val="13.0"/>
      </rPr>
      <t xml:space="preserve">
- Đăng ký thi: </t>
    </r>
    <r>
      <rPr>
        <rFont val="Times New Roman"/>
        <color rgb="FF1155CC"/>
        <sz val="13.0"/>
        <u/>
      </rPr>
      <t xml:space="preserve">https://online.iigvietnam.com/vi/test-registration/?exam=MOS&amp;type=2
</t>
    </r>
    <r>
      <rPr>
        <rFont val="Times New Roman"/>
        <sz val="13.0"/>
      </rPr>
      <t xml:space="preserve">- Hướng dẫn dự thi:  </t>
    </r>
    <r>
      <rPr>
        <rFont val="Times New Roman"/>
        <color rgb="FF1155CC"/>
        <sz val="13.0"/>
        <u/>
      </rPr>
      <t>https://iigvietnam.com/wp-content/uploads/2021/09/Huong-dan-du-thi-MOS-2016-update-05.08.2020_compressed.pdf</t>
    </r>
  </si>
  <si>
    <t>- Giới thiệu về phần mềm Excel</t>
  </si>
  <si>
    <t>Tuan 1- Chuong1_Quản lý môi trường làm việc Excel 2016.pdf</t>
  </si>
  <si>
    <t>CLC_BTVN_Excel_Tuan1.xlsx</t>
  </si>
  <si>
    <t>- Học các cách nhìn kiểm soát và làm chủ sổ tính Excel</t>
  </si>
  <si>
    <t>Tuan 2- Chuong2_Quản lý trang tính và sổ tính.pdf</t>
  </si>
  <si>
    <t>CLC_BTVN_Excel_Tuan2.xlsx</t>
  </si>
  <si>
    <t>- Đọc thêm</t>
  </si>
  <si>
    <t>- Đọc lại chương 1 và làm bài tập chương 1
- trước 14h ngày mai, Đọc chương 2,3,4
- Chiều mai học 14h-17h học lý thuyết chương 2,3,4 và làm bài tập
-Tối trước buổi học lúc 21h, em phải hoàn thành bài tập 2,3,4
- Tối mai lúc 21h-22h30 anh Cẩm sẽ chữa bài 3 và 4 và học chương 5 tuần 5 và 6</t>
  </si>
  <si>
    <t>Phím tắt thao tác nhanh Excel.pdf</t>
  </si>
  <si>
    <t>- Định dạng ô tính và bảng tính (Định dạng bản chất số, format là gì?, Format as table,…)</t>
  </si>
  <si>
    <t>Tuan 3- Chuong3_Dinh dang o tinh và bang tinh.pdf</t>
  </si>
  <si>
    <t>CLC_BTVN_Excel_Tuan3.xlsx</t>
  </si>
  <si>
    <t>- Các thao tác với ô tính (Chèn, xoá ô, tự động điền dữ liệu,…)</t>
  </si>
  <si>
    <t>Tuan 4- Chuong4_Cac thao tac voi o tinh.pdf</t>
  </si>
  <si>
    <t>CLC_BTVN_Excel_Tuan4.zip</t>
  </si>
  <si>
    <t>- Thực hành thao tác Tuan3 và Tuan4</t>
  </si>
  <si>
    <t>- Áp dụng công thức và hàm (T5) (HỌC 2 PHẦN ĐẾN THAM CHIẾU)</t>
  </si>
  <si>
    <t>Tuan 5- Chuong5_Áp dụng Công thức Và Hàm.pdf</t>
  </si>
  <si>
    <t>Bài Tập Excel Tổng Hợp (No Answer).xlsx</t>
  </si>
  <si>
    <t>- Áp dụng công thức và hàm (T5) (ÁP DÙNG VÙNG Ô VÀ CÁC HÀM)</t>
  </si>
  <si>
    <t>CLC_BTVN_Excel_Tuan5.xlsx</t>
  </si>
  <si>
    <t>- Áp dụng công thức và hàm (T6), học And, Or, If, Sumif, Countif, Averageif</t>
  </si>
  <si>
    <t>Tuan 6- Chuong5_Áp dụng Công thức Và Hàm (tt1).pdf</t>
  </si>
  <si>
    <t>CLC_BTVN_Excel_Tuan6.xlsx</t>
  </si>
  <si>
    <t>- Thực hành thao tác Tuan 5 và Tuan 6</t>
  </si>
  <si>
    <t xml:space="preserve">- Áp dụng công thức và hàm (T7) (Vlookup, Hlookup &amp; Rank) </t>
  </si>
  <si>
    <t>Tuan 7- Chuong5_Áp dụng Công thức Và Hàm (tt2).pdf</t>
  </si>
  <si>
    <t>CLC_BTVN_Excel_Tuan7.xlsx</t>
  </si>
  <si>
    <t>Tổng hợp công thức Excel Cơ bản.pdf</t>
  </si>
  <si>
    <t>- Thực hành thao tác Tuan 7</t>
  </si>
  <si>
    <t>- Học Trình bày dữ liệu trực quan (Tạo biểu đồ đơn giản)</t>
  </si>
  <si>
    <t>Tuan 8- Chuong6_Trình Bày Dữ Liệu Trực Quan.pdf</t>
  </si>
  <si>
    <t>CLC_BTVN_Excel_Tuan8.zip</t>
  </si>
  <si>
    <t>- Thực hành thao tác Tuan 8</t>
  </si>
  <si>
    <t>- Học Phân tích và tổ chức dữ liệu (Sort &amp; Filter)</t>
  </si>
  <si>
    <t>Tuan 9- Chuong7_Phân tích và tổ chức dữ liệu.pdf</t>
  </si>
  <si>
    <t>CLC_BTVN_Excel_Tuan9.xlsx</t>
  </si>
  <si>
    <t>Tối Chủ nhật thầy gửi đáp án Bài tập Excel tổng hợp bài 1-10</t>
  </si>
  <si>
    <t>- Học Định dạng trang in</t>
  </si>
  <si>
    <t>Tuan 10- Chuong8_Dinh dang trang in.pdf</t>
  </si>
  <si>
    <t>Bài tập ôn tuần 13</t>
  </si>
  <si>
    <t>BaiTap_On_Tuan13.rar</t>
  </si>
  <si>
    <t>CLC_BTVN_Excel_Tuan10.xlsx</t>
  </si>
  <si>
    <t>- Các bài tập ôn tuần 13 còn lại</t>
  </si>
  <si>
    <t>Bài tập ôn tuần 14</t>
  </si>
  <si>
    <t>- Giải đáp các bài tập Excel</t>
  </si>
  <si>
    <t>1 giờ</t>
  </si>
  <si>
    <t>1 buổi</t>
  </si>
  <si>
    <t>6 buổi</t>
  </si>
  <si>
    <t>1 người</t>
  </si>
  <si>
    <t>10 người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</si>
</sst>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dd"/>
    <numFmt numFmtId="165" formatCode="dd/MM/yyyy"/>
    <numFmt numFmtId="166" formatCode="#,##0.00\ [$đ-42A]"/>
    <numFmt numFmtId="167" formatCode="hh:mm"/>
    <numFmt numFmtId="168" formatCode="hh:mm:ss"/>
    <numFmt numFmtId="169" formatCode="d/m"/>
  </numFmts>
  <fonts count="19">
    <font>
      <sz val="10.0"/>
      <color rgb="FF000000"/>
      <name val="Arial"/>
      <scheme val="minor"/>
    </font>
    <font>
      <sz val="13.0"/>
      <color theme="1"/>
      <name val="Times New Roman"/>
    </font>
    <font>
      <b/>
      <sz val="13.0"/>
      <color rgb="FFF3F3F3"/>
      <name val="Times New Roman"/>
    </font>
    <font>
      <u/>
      <sz val="13.0"/>
      <color rgb="FF0000FF"/>
      <name val="Times New Roman"/>
    </font>
    <font/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sz val="13.0"/>
      <color theme="1"/>
      <name val="Arial"/>
      <scheme val="minor"/>
    </font>
    <font>
      <u/>
      <sz val="13.0"/>
      <color theme="1"/>
      <name val="Arial"/>
      <scheme val="minor"/>
    </font>
    <font>
      <u/>
      <sz val="13.0"/>
      <color theme="1"/>
      <name val="Arial"/>
      <scheme val="minor"/>
    </font>
    <font>
      <color theme="1"/>
      <name val="Arial"/>
      <scheme val="minor"/>
    </font>
    <font>
      <color rgb="FF1F1F1F"/>
      <name val="&quot;Google Sans&quot;"/>
    </font>
    <font>
      <color rgb="FF444746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D3E2FD"/>
        <bgColor rgb="FFD3E2FD"/>
      </patternFill>
    </fill>
    <fill>
      <patternFill patternType="solid">
        <fgColor rgb="FFFFFFFF"/>
        <bgColor rgb="FFFFFFFF"/>
      </patternFill>
    </fill>
  </fills>
  <borders count="5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2" fillId="0" fontId="1" numFmtId="164" xfId="0" applyAlignment="1" applyBorder="1" applyFont="1" applyNumberFormat="1">
      <alignment horizontal="center" vertical="center"/>
    </xf>
    <xf borderId="2" fillId="0" fontId="1" numFmtId="165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vertical="center"/>
    </xf>
    <xf borderId="3" fillId="0" fontId="4" numFmtId="0" xfId="0" applyBorder="1" applyFont="1"/>
    <xf borderId="4" fillId="0" fontId="4" numFmtId="0" xfId="0" applyBorder="1" applyFont="1"/>
    <xf borderId="2" fillId="3" fontId="1" numFmtId="164" xfId="0" applyAlignment="1" applyBorder="1" applyFill="1" applyFont="1" applyNumberFormat="1">
      <alignment horizontal="center" vertical="center"/>
    </xf>
    <xf borderId="2" fillId="3" fontId="1" numFmtId="165" xfId="0" applyAlignment="1" applyBorder="1" applyFont="1" applyNumberFormat="1">
      <alignment horizontal="center" readingOrder="0" vertical="center"/>
    </xf>
    <xf borderId="2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vertical="center"/>
    </xf>
    <xf borderId="1" fillId="3" fontId="5" numFmtId="0" xfId="0" applyAlignment="1" applyBorder="1" applyFont="1">
      <alignment vertical="center"/>
    </xf>
    <xf borderId="1" fillId="3" fontId="6" numFmtId="0" xfId="0" applyAlignment="1" applyBorder="1" applyFont="1">
      <alignment readingOrder="0" vertical="center"/>
    </xf>
    <xf borderId="1" fillId="3" fontId="1" numFmtId="0" xfId="0" applyAlignment="1" applyBorder="1" applyFont="1">
      <alignment readingOrder="0" vertical="center"/>
    </xf>
    <xf borderId="1" fillId="0" fontId="7" numFmtId="0" xfId="0" applyAlignment="1" applyBorder="1" applyFont="1">
      <alignment vertical="center"/>
    </xf>
    <xf borderId="1" fillId="0" fontId="8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0" fillId="3" fontId="1" numFmtId="0" xfId="0" applyAlignment="1" applyFont="1">
      <alignment vertical="center"/>
    </xf>
    <xf borderId="0" fillId="3" fontId="9" numFmtId="0" xfId="0" applyAlignment="1" applyFont="1">
      <alignment vertical="center"/>
    </xf>
    <xf borderId="1" fillId="3" fontId="1" numFmtId="0" xfId="0" applyAlignment="1" applyBorder="1" applyFont="1">
      <alignment vertical="center"/>
    </xf>
    <xf borderId="1" fillId="4" fontId="1" numFmtId="0" xfId="0" applyAlignment="1" applyBorder="1" applyFill="1" applyFont="1">
      <alignment readingOrder="0" vertical="center"/>
    </xf>
    <xf borderId="0" fillId="4" fontId="10" numFmtId="0" xfId="0" applyAlignment="1" applyFont="1">
      <alignment vertical="center"/>
    </xf>
    <xf borderId="1" fillId="4" fontId="11" numFmtId="0" xfId="0" applyAlignment="1" applyBorder="1" applyFont="1">
      <alignment readingOrder="0" vertical="center"/>
    </xf>
    <xf borderId="1" fillId="4" fontId="12" numFmtId="0" xfId="0" applyAlignment="1" applyBorder="1" applyFont="1">
      <alignment vertical="center"/>
    </xf>
    <xf borderId="1" fillId="4" fontId="1" numFmtId="0" xfId="0" applyAlignment="1" applyBorder="1" applyFont="1">
      <alignment vertical="center"/>
    </xf>
    <xf borderId="1" fillId="4" fontId="1" numFmtId="0" xfId="0" applyAlignment="1" applyBorder="1" applyFont="1">
      <alignment vertical="center"/>
    </xf>
    <xf borderId="0" fillId="3" fontId="13" numFmtId="0" xfId="0" applyAlignment="1" applyFont="1">
      <alignment readingOrder="0" vertical="center"/>
    </xf>
    <xf borderId="0" fillId="3" fontId="14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0" fontId="15" numFmtId="0" xfId="0" applyAlignment="1" applyFont="1">
      <alignment readingOrder="0" vertical="center"/>
    </xf>
    <xf borderId="1" fillId="3" fontId="1" numFmtId="0" xfId="0" applyAlignment="1" applyBorder="1" applyFont="1">
      <alignment readingOrder="0" shrinkToFit="0" vertical="center" wrapText="0"/>
    </xf>
    <xf borderId="0" fillId="0" fontId="16" numFmtId="0" xfId="0" applyAlignment="1" applyFont="1">
      <alignment readingOrder="0"/>
    </xf>
    <xf borderId="0" fillId="4" fontId="17" numFmtId="0" xfId="0" applyAlignment="1" applyFont="1">
      <alignment horizontal="left" readingOrder="0" shrinkToFit="0" wrapText="1"/>
    </xf>
    <xf borderId="0" fillId="0" fontId="16" numFmtId="166" xfId="0" applyFont="1" applyNumberFormat="1"/>
    <xf borderId="0" fillId="0" fontId="16" numFmtId="0" xfId="0" applyFont="1"/>
    <xf borderId="0" fillId="0" fontId="16" numFmtId="167" xfId="0" applyAlignment="1" applyFont="1" applyNumberFormat="1">
      <alignment readingOrder="0"/>
    </xf>
    <xf borderId="0" fillId="0" fontId="16" numFmtId="168" xfId="0" applyAlignment="1" applyFont="1" applyNumberFormat="1">
      <alignment readingOrder="0"/>
    </xf>
    <xf borderId="0" fillId="4" fontId="18" numFmtId="0" xfId="0" applyAlignment="1" applyFont="1">
      <alignment horizontal="left" readingOrder="0" shrinkToFit="0" wrapText="1"/>
    </xf>
    <xf borderId="0" fillId="4" fontId="17" numFmtId="4" xfId="0" applyAlignment="1" applyFont="1" applyNumberFormat="1">
      <alignment horizontal="left" readingOrder="0" shrinkToFit="0" wrapText="1"/>
    </xf>
    <xf borderId="0" fillId="0" fontId="16" numFmtId="3" xfId="0" applyAlignment="1" applyFont="1" applyNumberFormat="1">
      <alignment readingOrder="0"/>
    </xf>
    <xf borderId="0" fillId="4" fontId="17" numFmtId="169" xfId="0" applyAlignment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X2ng9W7RIIUD21cIb7vV7MM6rqoyqlwe/view?usp=drive_link" TargetMode="External"/><Relationship Id="rId22" Type="http://schemas.openxmlformats.org/officeDocument/2006/relationships/hyperlink" Target="https://drive.google.com/file/d/13riKNHm-XvEINumHORg3fCEf_jOa7EUQ/view?usp=drive_link" TargetMode="External"/><Relationship Id="rId21" Type="http://schemas.openxmlformats.org/officeDocument/2006/relationships/hyperlink" Target="https://drive.google.com/open?id=15BhrO-TgauvqcQcJul9_U3UO4z9EazAk&amp;usp=drive_copy" TargetMode="External"/><Relationship Id="rId24" Type="http://schemas.openxmlformats.org/officeDocument/2006/relationships/hyperlink" Target="https://drive.google.com/file/d/1fKmT3Hl3uZphRYUoEW1EyX2ezK83UTCX/view?usp=drive_link" TargetMode="External"/><Relationship Id="rId23" Type="http://schemas.openxmlformats.org/officeDocument/2006/relationships/hyperlink" Target="https://drive.google.com/open?id=1ywyLwYe94m4w8ae7x5xSY8RWcND8iojv&amp;usp=drive_copy" TargetMode="External"/><Relationship Id="rId1" Type="http://schemas.openxmlformats.org/officeDocument/2006/relationships/hyperlink" Target="https://mos.iigvietnam.com/gioi-thieu-bai-thi/" TargetMode="External"/><Relationship Id="rId2" Type="http://schemas.openxmlformats.org/officeDocument/2006/relationships/hyperlink" Target="https://drive.google.com/file/d/1bNlijM6NUQsGAPyOM6zCUjXmo54ch_hz/view?usp=sharing" TargetMode="External"/><Relationship Id="rId3" Type="http://schemas.openxmlformats.org/officeDocument/2006/relationships/hyperlink" Target="https://drive.google.com/open?id=1LC8WyN7NjALeDAH6ivrH0J6pd72M4Wka&amp;usp=drive_copy" TargetMode="External"/><Relationship Id="rId4" Type="http://schemas.openxmlformats.org/officeDocument/2006/relationships/hyperlink" Target="https://drive.google.com/file/d/1v7m2B__LVy1B11ukaFFdjaoy4j_nssKX/view?usp=sharing" TargetMode="External"/><Relationship Id="rId9" Type="http://schemas.openxmlformats.org/officeDocument/2006/relationships/hyperlink" Target="https://drive.google.com/file/d/1TAb7c7OM6TdMX-IBW6DK5bcOHwGVvOqm/view?usp=drive_link" TargetMode="External"/><Relationship Id="rId26" Type="http://schemas.openxmlformats.org/officeDocument/2006/relationships/hyperlink" Target="https://drive.google.com/open?id=1K77Smvf_WGkfdG_nxxWL1uaJQbrd9ro8&amp;usp=drive_copy" TargetMode="External"/><Relationship Id="rId25" Type="http://schemas.openxmlformats.org/officeDocument/2006/relationships/hyperlink" Target="https://drive.google.com/file/d/1y6Npv4wR2Aki3Y4KnjARIhHEAFQvIqUV/view?usp=sharing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drive.google.com/open?id=1mKt205Mv7cQuKYZ5PwNsDXGpa5zyYdXV&amp;usp=drive_copy" TargetMode="External"/><Relationship Id="rId6" Type="http://schemas.openxmlformats.org/officeDocument/2006/relationships/hyperlink" Target="https://drive.google.com/open?id=1HWBVfeW2PHTJvNthNDZRfNUFIRJRuGyO&amp;usp=drive_copy" TargetMode="External"/><Relationship Id="rId7" Type="http://schemas.openxmlformats.org/officeDocument/2006/relationships/hyperlink" Target="https://drive.google.com/file/d/1nuEqUS0sVj8mbTTQu8Z-OzIIJoanSJFe/view?usp=drive_link" TargetMode="External"/><Relationship Id="rId8" Type="http://schemas.openxmlformats.org/officeDocument/2006/relationships/hyperlink" Target="https://drive.google.com/open?id=1P3zD4HkvFnRnXKjNZUeB9mIwpYGauiAm&amp;usp=drive_copy" TargetMode="External"/><Relationship Id="rId11" Type="http://schemas.openxmlformats.org/officeDocument/2006/relationships/hyperlink" Target="https://drive.google.com/file/d/1H5p3aG_Xta2XVPQDi4M-5ua1TCnIXgV9/view?usp=drive_link" TargetMode="External"/><Relationship Id="rId10" Type="http://schemas.openxmlformats.org/officeDocument/2006/relationships/hyperlink" Target="https://drive.google.com/open?id=12wKLaZIh8ZpbXlEKn5UUgtEeSuk-oR6e&amp;usp=drive_copy" TargetMode="External"/><Relationship Id="rId13" Type="http://schemas.openxmlformats.org/officeDocument/2006/relationships/hyperlink" Target="https://drive.google.com/file/d/1H5p3aG_Xta2XVPQDi4M-5ua1TCnIXgV9/view?usp=drive_link" TargetMode="External"/><Relationship Id="rId12" Type="http://schemas.openxmlformats.org/officeDocument/2006/relationships/hyperlink" Target="https://docs.google.com/spreadsheets/d/1uRWnWiI50nQE0p1VyclVcN48fphszESk/edit?usp=sharing&amp;ouid=117144397047361912479&amp;rtpof=true&amp;sd=true" TargetMode="External"/><Relationship Id="rId15" Type="http://schemas.openxmlformats.org/officeDocument/2006/relationships/hyperlink" Target="https://drive.google.com/file/d/1I6gsJdvvMVznfGUV2_pwRA2wdEBt9iWJ/view?usp=drive_link" TargetMode="External"/><Relationship Id="rId14" Type="http://schemas.openxmlformats.org/officeDocument/2006/relationships/hyperlink" Target="https://drive.google.com/open?id=1YQzody7LQ4qPjPPy6a4zWquURlkynVLn&amp;usp=drive_copy" TargetMode="External"/><Relationship Id="rId17" Type="http://schemas.openxmlformats.org/officeDocument/2006/relationships/hyperlink" Target="https://drive.google.com/file/d/1mknL4LVgo50bWb2tykvGASN4V8YIE6Ys/view?usp=drive_link" TargetMode="External"/><Relationship Id="rId16" Type="http://schemas.openxmlformats.org/officeDocument/2006/relationships/hyperlink" Target="https://drive.google.com/open?id=1lCfX9dZquwpqJ9erTUjmtPVxgbTQzmHc&amp;usp=drive_copy" TargetMode="External"/><Relationship Id="rId19" Type="http://schemas.openxmlformats.org/officeDocument/2006/relationships/hyperlink" Target="https://drive.google.com/file/d/1DUltC_eDPZm4-OJvlQ9FJRfXQrz7KMVG/view?usp=drive_link" TargetMode="External"/><Relationship Id="rId18" Type="http://schemas.openxmlformats.org/officeDocument/2006/relationships/hyperlink" Target="https://drive.google.com/open?id=1HUfMxemLm7pTfWY3PCJjR5q9BWimCMwF&amp;usp=drive_copy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5"/>
    <col customWidth="1" min="2" max="2" width="12.0"/>
    <col customWidth="1" min="3" max="3" width="6.5"/>
    <col customWidth="1" min="4" max="4" width="78.75"/>
    <col customWidth="1" min="5" max="5" width="73.0"/>
    <col customWidth="1" min="6" max="6" width="81.13"/>
    <col customWidth="1" min="7" max="7" width="27.13"/>
  </cols>
  <sheetData>
    <row r="1">
      <c r="A1" s="1" t="s">
        <v>0</v>
      </c>
      <c r="B1" s="2"/>
      <c r="C1" s="2"/>
      <c r="D1" s="2"/>
      <c r="E1" s="2"/>
      <c r="F1" s="2"/>
      <c r="G1" s="2"/>
    </row>
    <row r="2" ht="37.5" customHeight="1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 t="s">
        <v>6</v>
      </c>
      <c r="G2" s="5" t="s">
        <v>7</v>
      </c>
    </row>
    <row r="3" ht="37.5" customHeight="1">
      <c r="A3" s="6">
        <f>WEEKDAY(B3)</f>
        <v>7</v>
      </c>
      <c r="B3" s="7"/>
      <c r="C3" s="8">
        <v>1.0</v>
      </c>
      <c r="D3" s="9" t="s">
        <v>8</v>
      </c>
      <c r="E3" s="10"/>
      <c r="F3" s="11" t="s">
        <v>9</v>
      </c>
      <c r="G3" s="12"/>
    </row>
    <row r="4" ht="37.5" customHeight="1">
      <c r="A4" s="13"/>
      <c r="B4" s="13"/>
      <c r="C4" s="13"/>
      <c r="D4" s="13"/>
      <c r="E4" s="13"/>
      <c r="F4" s="13"/>
      <c r="G4" s="13"/>
    </row>
    <row r="5" ht="90.0" customHeight="1">
      <c r="A5" s="14"/>
      <c r="B5" s="14"/>
      <c r="C5" s="14"/>
      <c r="D5" s="14"/>
      <c r="E5" s="14"/>
      <c r="F5" s="14"/>
      <c r="G5" s="14"/>
    </row>
    <row r="6" ht="37.5" customHeight="1">
      <c r="A6" s="15">
        <f>WEEKDAY(B6)</f>
        <v>7</v>
      </c>
      <c r="B6" s="16"/>
      <c r="C6" s="17">
        <f>C3+1</f>
        <v>2</v>
      </c>
      <c r="D6" s="18" t="s">
        <v>10</v>
      </c>
      <c r="E6" s="19" t="s">
        <v>11</v>
      </c>
      <c r="F6" s="20" t="s">
        <v>12</v>
      </c>
      <c r="G6" s="21" t="b">
        <v>1</v>
      </c>
    </row>
    <row r="7" ht="37.5" customHeight="1">
      <c r="A7" s="13"/>
      <c r="B7" s="13"/>
      <c r="C7" s="13"/>
      <c r="D7" s="18" t="s">
        <v>13</v>
      </c>
      <c r="E7" s="19" t="s">
        <v>14</v>
      </c>
      <c r="F7" s="20" t="s">
        <v>15</v>
      </c>
      <c r="G7" s="21" t="b">
        <v>1</v>
      </c>
    </row>
    <row r="8" ht="37.5" customHeight="1">
      <c r="A8" s="14"/>
      <c r="B8" s="14"/>
      <c r="C8" s="14"/>
      <c r="D8" s="21" t="s">
        <v>16</v>
      </c>
      <c r="E8" s="21" t="s">
        <v>17</v>
      </c>
      <c r="F8" s="20" t="s">
        <v>18</v>
      </c>
      <c r="G8" s="21" t="b">
        <v>1</v>
      </c>
    </row>
    <row r="9" ht="37.5" customHeight="1">
      <c r="A9" s="6">
        <f>WEEKDAY(B9)</f>
        <v>7</v>
      </c>
      <c r="B9" s="7"/>
      <c r="C9" s="8">
        <f>C6+1</f>
        <v>3</v>
      </c>
      <c r="D9" s="1" t="s">
        <v>19</v>
      </c>
      <c r="E9" s="22" t="s">
        <v>20</v>
      </c>
      <c r="F9" s="23" t="s">
        <v>21</v>
      </c>
      <c r="G9" s="1" t="b">
        <v>1</v>
      </c>
    </row>
    <row r="10" ht="37.5" customHeight="1">
      <c r="A10" s="13"/>
      <c r="B10" s="13"/>
      <c r="C10" s="13"/>
      <c r="D10" s="1" t="s">
        <v>22</v>
      </c>
      <c r="E10" s="23" t="s">
        <v>23</v>
      </c>
      <c r="F10" s="23" t="s">
        <v>24</v>
      </c>
      <c r="G10" s="1" t="b">
        <v>1</v>
      </c>
    </row>
    <row r="11" ht="37.5" customHeight="1">
      <c r="A11" s="14"/>
      <c r="B11" s="14"/>
      <c r="C11" s="14"/>
      <c r="D11" s="24"/>
      <c r="E11" s="2"/>
      <c r="F11" s="1"/>
      <c r="G11" s="1" t="b">
        <v>0</v>
      </c>
    </row>
    <row r="12" ht="37.5" customHeight="1">
      <c r="A12" s="15">
        <f>WEEKDAY(B12)</f>
        <v>7</v>
      </c>
      <c r="B12" s="16"/>
      <c r="C12" s="17">
        <f>C9+1</f>
        <v>4</v>
      </c>
      <c r="D12" s="21" t="s">
        <v>25</v>
      </c>
      <c r="E12" s="25"/>
      <c r="F12" s="21"/>
      <c r="G12" s="21" t="b">
        <v>0</v>
      </c>
    </row>
    <row r="13" ht="37.5" customHeight="1">
      <c r="A13" s="13"/>
      <c r="B13" s="13"/>
      <c r="C13" s="13"/>
      <c r="D13" s="21" t="s">
        <v>26</v>
      </c>
      <c r="E13" s="26" t="s">
        <v>27</v>
      </c>
      <c r="F13" s="20" t="s">
        <v>28</v>
      </c>
      <c r="G13" s="27" t="b">
        <v>0</v>
      </c>
    </row>
    <row r="14" ht="37.5" customHeight="1">
      <c r="A14" s="14"/>
      <c r="B14" s="14"/>
      <c r="C14" s="14"/>
      <c r="D14" s="21"/>
      <c r="E14" s="27"/>
      <c r="F14" s="21"/>
      <c r="G14" s="27" t="b">
        <v>0</v>
      </c>
    </row>
    <row r="15" ht="37.5" customHeight="1">
      <c r="A15" s="6">
        <f>WEEKDAY(B15)</f>
        <v>7</v>
      </c>
      <c r="B15" s="7"/>
      <c r="C15" s="8">
        <f>C12+1</f>
        <v>5</v>
      </c>
      <c r="D15" s="28" t="s">
        <v>29</v>
      </c>
      <c r="E15" s="29" t="s">
        <v>27</v>
      </c>
      <c r="F15" s="30" t="s">
        <v>30</v>
      </c>
      <c r="G15" s="2" t="b">
        <v>0</v>
      </c>
    </row>
    <row r="16" ht="37.5" customHeight="1">
      <c r="A16" s="13"/>
      <c r="B16" s="13"/>
      <c r="C16" s="13"/>
      <c r="D16" s="28" t="s">
        <v>31</v>
      </c>
      <c r="E16" s="31" t="s">
        <v>32</v>
      </c>
      <c r="F16" s="30" t="s">
        <v>33</v>
      </c>
      <c r="G16" s="2" t="b">
        <v>0</v>
      </c>
    </row>
    <row r="17" ht="37.5" customHeight="1">
      <c r="A17" s="14"/>
      <c r="B17" s="14"/>
      <c r="C17" s="14"/>
      <c r="D17" s="32"/>
      <c r="E17" s="28"/>
      <c r="F17" s="33"/>
      <c r="G17" s="2" t="b">
        <v>0</v>
      </c>
    </row>
    <row r="18" ht="37.5" customHeight="1">
      <c r="A18" s="15">
        <f>WEEKDAY(B18)</f>
        <v>7</v>
      </c>
      <c r="B18" s="16"/>
      <c r="C18" s="17">
        <f>C15+1</f>
        <v>6</v>
      </c>
      <c r="D18" s="21" t="s">
        <v>34</v>
      </c>
      <c r="E18" s="25"/>
      <c r="F18" s="34"/>
      <c r="G18" s="27" t="b">
        <v>0</v>
      </c>
    </row>
    <row r="19" ht="37.5" customHeight="1">
      <c r="A19" s="13"/>
      <c r="B19" s="13"/>
      <c r="C19" s="13"/>
      <c r="D19" s="21" t="s">
        <v>35</v>
      </c>
      <c r="E19" s="19" t="s">
        <v>36</v>
      </c>
      <c r="F19" s="35" t="s">
        <v>37</v>
      </c>
      <c r="G19" s="27" t="b">
        <v>0</v>
      </c>
    </row>
    <row r="20" ht="37.5" customHeight="1">
      <c r="A20" s="14"/>
      <c r="B20" s="14"/>
      <c r="C20" s="14"/>
      <c r="D20" s="18"/>
      <c r="E20" s="27"/>
      <c r="F20" s="20" t="s">
        <v>38</v>
      </c>
      <c r="G20" s="27" t="b">
        <v>0</v>
      </c>
    </row>
    <row r="21" ht="37.5" customHeight="1">
      <c r="A21" s="6">
        <f>WEEKDAY(B21)</f>
        <v>7</v>
      </c>
      <c r="B21" s="7"/>
      <c r="C21" s="8">
        <f>C18+1</f>
        <v>7</v>
      </c>
      <c r="D21" s="1" t="s">
        <v>39</v>
      </c>
      <c r="E21" s="2"/>
      <c r="F21" s="36"/>
      <c r="G21" s="2" t="b">
        <v>0</v>
      </c>
    </row>
    <row r="22" ht="37.5" customHeight="1">
      <c r="A22" s="13"/>
      <c r="B22" s="13"/>
      <c r="C22" s="13"/>
      <c r="D22" s="1" t="s">
        <v>40</v>
      </c>
      <c r="E22" s="22" t="s">
        <v>41</v>
      </c>
      <c r="F22" s="37" t="s">
        <v>42</v>
      </c>
      <c r="G22" s="2" t="b">
        <v>0</v>
      </c>
    </row>
    <row r="23" ht="37.5" customHeight="1">
      <c r="A23" s="14"/>
      <c r="B23" s="14"/>
      <c r="C23" s="14"/>
      <c r="D23" s="1"/>
      <c r="E23" s="2"/>
      <c r="F23" s="1"/>
      <c r="G23" s="2" t="b">
        <v>0</v>
      </c>
    </row>
    <row r="24" ht="37.5" customHeight="1">
      <c r="A24" s="15">
        <f>WEEKDAY(B24)</f>
        <v>7</v>
      </c>
      <c r="B24" s="16"/>
      <c r="C24" s="17">
        <f>C21+1</f>
        <v>8</v>
      </c>
      <c r="D24" s="21" t="s">
        <v>43</v>
      </c>
      <c r="E24" s="27"/>
      <c r="F24" s="21"/>
      <c r="G24" s="27" t="b">
        <v>0</v>
      </c>
    </row>
    <row r="25" ht="37.5" customHeight="1">
      <c r="A25" s="13"/>
      <c r="B25" s="13"/>
      <c r="C25" s="13"/>
      <c r="D25" s="21" t="s">
        <v>44</v>
      </c>
      <c r="E25" s="19" t="s">
        <v>45</v>
      </c>
      <c r="F25" s="20" t="s">
        <v>46</v>
      </c>
      <c r="G25" s="27" t="b">
        <v>0</v>
      </c>
    </row>
    <row r="26" ht="37.5" customHeight="1">
      <c r="A26" s="14"/>
      <c r="B26" s="14"/>
      <c r="C26" s="14"/>
      <c r="D26" s="21" t="s">
        <v>47</v>
      </c>
      <c r="E26" s="38"/>
      <c r="F26" s="27"/>
      <c r="G26" s="27" t="b">
        <v>0</v>
      </c>
    </row>
    <row r="27" ht="37.5" customHeight="1">
      <c r="A27" s="6">
        <f>WEEKDAY(B27)</f>
        <v>7</v>
      </c>
      <c r="B27" s="7"/>
      <c r="C27" s="8">
        <f>C24+1</f>
        <v>9</v>
      </c>
      <c r="D27" s="1" t="s">
        <v>48</v>
      </c>
      <c r="E27" s="22" t="s">
        <v>49</v>
      </c>
      <c r="F27" s="1"/>
      <c r="G27" s="2" t="b">
        <v>0</v>
      </c>
    </row>
    <row r="28" ht="37.5" customHeight="1">
      <c r="A28" s="13"/>
      <c r="B28" s="13"/>
      <c r="C28" s="13"/>
      <c r="D28" s="1" t="s">
        <v>50</v>
      </c>
      <c r="E28" s="23" t="s">
        <v>51</v>
      </c>
      <c r="F28" s="23" t="s">
        <v>52</v>
      </c>
      <c r="G28" s="2" t="b">
        <v>0</v>
      </c>
    </row>
    <row r="29" ht="37.5" customHeight="1">
      <c r="A29" s="14"/>
      <c r="B29" s="14"/>
      <c r="C29" s="14"/>
      <c r="D29" s="1"/>
      <c r="E29" s="2"/>
      <c r="F29" s="2"/>
      <c r="G29" s="2" t="b">
        <v>0</v>
      </c>
    </row>
    <row r="30" ht="37.5" customHeight="1">
      <c r="A30" s="15">
        <f>WEEKDAY(B30)</f>
        <v>7</v>
      </c>
      <c r="B30" s="16"/>
      <c r="C30" s="17">
        <f>C27+1</f>
        <v>10</v>
      </c>
      <c r="D30" s="21" t="s">
        <v>53</v>
      </c>
      <c r="E30" s="27"/>
      <c r="F30" s="27"/>
      <c r="G30" s="27" t="b">
        <v>0</v>
      </c>
    </row>
    <row r="31" ht="37.5" customHeight="1">
      <c r="A31" s="13"/>
      <c r="B31" s="13"/>
      <c r="C31" s="13"/>
      <c r="D31" s="21" t="s">
        <v>54</v>
      </c>
      <c r="E31" s="27"/>
      <c r="F31" s="27"/>
      <c r="G31" s="27" t="b">
        <v>0</v>
      </c>
    </row>
    <row r="32" ht="37.5" customHeight="1">
      <c r="A32" s="14"/>
      <c r="B32" s="14"/>
      <c r="C32" s="14"/>
      <c r="D32" s="21" t="s">
        <v>55</v>
      </c>
      <c r="E32" s="27"/>
      <c r="F32" s="27"/>
      <c r="G32" s="27" t="b">
        <v>0</v>
      </c>
    </row>
  </sheetData>
  <mergeCells count="34">
    <mergeCell ref="A3:A5"/>
    <mergeCell ref="B3:B5"/>
    <mergeCell ref="C3:C5"/>
    <mergeCell ref="D3:D5"/>
    <mergeCell ref="E3:E5"/>
    <mergeCell ref="F3:F5"/>
    <mergeCell ref="G3:G5"/>
    <mergeCell ref="B12:B14"/>
    <mergeCell ref="C12:C14"/>
    <mergeCell ref="A6:A8"/>
    <mergeCell ref="B6:B8"/>
    <mergeCell ref="C6:C8"/>
    <mergeCell ref="A9:A11"/>
    <mergeCell ref="B9:B11"/>
    <mergeCell ref="C9:C11"/>
    <mergeCell ref="A12:A14"/>
    <mergeCell ref="B21:B23"/>
    <mergeCell ref="C21:C23"/>
    <mergeCell ref="A15:A17"/>
    <mergeCell ref="B15:B17"/>
    <mergeCell ref="C15:C17"/>
    <mergeCell ref="A18:A20"/>
    <mergeCell ref="B18:B20"/>
    <mergeCell ref="C18:C20"/>
    <mergeCell ref="A21:A23"/>
    <mergeCell ref="B30:B32"/>
    <mergeCell ref="C30:C32"/>
    <mergeCell ref="A24:A26"/>
    <mergeCell ref="B24:B26"/>
    <mergeCell ref="C24:C26"/>
    <mergeCell ref="A27:A29"/>
    <mergeCell ref="B27:B29"/>
    <mergeCell ref="C27:C29"/>
    <mergeCell ref="A30:A32"/>
  </mergeCells>
  <hyperlinks>
    <hyperlink r:id="rId1" ref="F3"/>
    <hyperlink r:id="rId2" ref="E6"/>
    <hyperlink r:id="rId3" ref="F6"/>
    <hyperlink r:id="rId4" ref="E7"/>
    <hyperlink r:id="rId5" ref="F7"/>
    <hyperlink r:id="rId6" ref="F8"/>
    <hyperlink r:id="rId7" ref="E9"/>
    <hyperlink r:id="rId8" ref="F9"/>
    <hyperlink r:id="rId9" ref="E10"/>
    <hyperlink r:id="rId10" ref="F10"/>
    <hyperlink r:id="rId11" ref="E13"/>
    <hyperlink r:id="rId12" ref="F13"/>
    <hyperlink r:id="rId13" ref="E15"/>
    <hyperlink r:id="rId14" ref="F15"/>
    <hyperlink r:id="rId15" ref="E16"/>
    <hyperlink r:id="rId16" ref="F16"/>
    <hyperlink r:id="rId17" ref="E19"/>
    <hyperlink r:id="rId18" ref="F19"/>
    <hyperlink r:id="rId19" ref="F20"/>
    <hyperlink r:id="rId20" ref="E22"/>
    <hyperlink r:id="rId21" ref="F22"/>
    <hyperlink r:id="rId22" ref="E25"/>
    <hyperlink r:id="rId23" ref="F25"/>
    <hyperlink r:id="rId24" ref="E27"/>
    <hyperlink r:id="rId25" ref="E28"/>
    <hyperlink r:id="rId26" ref="F28"/>
  </hyperlinks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63"/>
    <col customWidth="1" min="5" max="5" width="17.38"/>
  </cols>
  <sheetData>
    <row r="1">
      <c r="A1" s="39" t="s">
        <v>56</v>
      </c>
      <c r="B1" s="40" t="s">
        <v>57</v>
      </c>
      <c r="C1" s="40" t="s">
        <v>57</v>
      </c>
      <c r="D1" s="39" t="s">
        <v>58</v>
      </c>
      <c r="E1" s="39" t="s">
        <v>59</v>
      </c>
      <c r="F1" s="39" t="s">
        <v>60</v>
      </c>
    </row>
    <row r="2">
      <c r="A2" s="41">
        <f>F2/D2</f>
        <v>1666666.667</v>
      </c>
      <c r="B2" s="40">
        <f>F2/6</f>
        <v>4166666.667</v>
      </c>
      <c r="C2" s="40">
        <v>2.5</v>
      </c>
      <c r="D2" s="42">
        <f>C2*6</f>
        <v>15</v>
      </c>
      <c r="E2" s="39">
        <v>2500000.0</v>
      </c>
      <c r="F2" s="42">
        <f>E2*10</f>
        <v>25000000</v>
      </c>
    </row>
    <row r="3">
      <c r="A3" s="40"/>
      <c r="D3" s="43"/>
      <c r="F3" s="44"/>
      <c r="I3" s="45"/>
    </row>
    <row r="4">
      <c r="A4" s="40" t="s">
        <v>56</v>
      </c>
      <c r="B4" s="40" t="s">
        <v>57</v>
      </c>
      <c r="C4" s="40" t="s">
        <v>57</v>
      </c>
      <c r="D4" s="39" t="s">
        <v>58</v>
      </c>
      <c r="E4" s="39" t="s">
        <v>59</v>
      </c>
      <c r="F4" s="39" t="s">
        <v>60</v>
      </c>
    </row>
    <row r="5">
      <c r="A5" s="46">
        <f>B5/C5</f>
        <v>2333333.333</v>
      </c>
      <c r="B5" s="40">
        <f>3500000</f>
        <v>3500000</v>
      </c>
      <c r="C5" s="40">
        <v>1.5</v>
      </c>
      <c r="D5" s="42">
        <f>C5*6</f>
        <v>9</v>
      </c>
      <c r="E5" s="39">
        <v>2500000.0</v>
      </c>
      <c r="F5" s="42">
        <f>A5*15</f>
        <v>35000000</v>
      </c>
    </row>
    <row r="6">
      <c r="A6" s="40"/>
    </row>
    <row r="8">
      <c r="A8" s="40"/>
    </row>
    <row r="9">
      <c r="A9" s="40"/>
    </row>
    <row r="10">
      <c r="A10" s="40"/>
    </row>
    <row r="11">
      <c r="A11" s="40"/>
      <c r="D11" s="47"/>
    </row>
    <row r="12">
      <c r="A12" s="40"/>
    </row>
    <row r="13">
      <c r="A13" s="40"/>
    </row>
    <row r="14">
      <c r="A14" s="40"/>
    </row>
    <row r="15">
      <c r="A15" s="48"/>
    </row>
    <row r="16">
      <c r="A16" s="40"/>
    </row>
  </sheetData>
  <drawing r:id="rId1"/>
</worksheet>
</file>